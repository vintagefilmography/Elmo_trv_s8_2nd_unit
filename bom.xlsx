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0" i="1"/>
  <c r="B9" i="1"/>
  <c r="B7" i="1"/>
  <c r="B5" i="1"/>
  <c r="B4" i="1"/>
</calcChain>
</file>

<file path=xl/sharedStrings.xml><?xml version="1.0" encoding="utf-8"?>
<sst xmlns="http://schemas.openxmlformats.org/spreadsheetml/2006/main" count="17" uniqueCount="16">
  <si>
    <t>Camera</t>
  </si>
  <si>
    <t>RPI</t>
  </si>
  <si>
    <t>DC aapter</t>
  </si>
  <si>
    <t>Aico Lens</t>
  </si>
  <si>
    <t>UCB Hub</t>
  </si>
  <si>
    <t>c to 12mm aapter</t>
  </si>
  <si>
    <t>sound blaster</t>
  </si>
  <si>
    <t>Total</t>
  </si>
  <si>
    <t>Elmo TRV8 BOM</t>
  </si>
  <si>
    <t>https://www.amazon.com/gp/product/B07TC2BK1X</t>
  </si>
  <si>
    <t>https://www.canakit.com/raspberry-pi-global-shutter-camera.html</t>
  </si>
  <si>
    <t>https://www.amazon.com/dp/B0BMGJNSVS</t>
  </si>
  <si>
    <t>https://aico-lens.com/product/16mm-f2-2-f5-6-f8-10mp-m12-cctv-board-4k-macro-lens-ach1622mac/</t>
  </si>
  <si>
    <t>https://www.aliexpress.us/item/2251832697674075.html</t>
  </si>
  <si>
    <t>https://www.amazon.com/gp/product/B06XBZ38ZJ/</t>
  </si>
  <si>
    <t>audio attenutor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</si>
</sst>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0" sqref="D10"/>
    </sheetView>
  </sheetViews>
  <sheetFormatPr defaultRowHeight="15" x14ac:dyDescent="0.25"/>
  <cols>
    <col min="1" max="1" width="20.28515625" customWidth="1"/>
  </cols>
  <sheetData>
    <row r="1" spans="1:4" x14ac:dyDescent="0.25">
      <c r="A1" t="s">
        <v>8</v>
      </c>
    </row>
    <row r="3" spans="1:4" x14ac:dyDescent="0.25">
      <c r="A3" t="s">
        <v>0</v>
      </c>
      <c r="B3">
        <v>68.900000000000006</v>
      </c>
      <c r="D3" t="s">
        <v>10</v>
      </c>
    </row>
    <row r="4" spans="1:4" x14ac:dyDescent="0.25">
      <c r="A4" t="s">
        <v>1</v>
      </c>
      <c r="B4">
        <f>62.99 +(62.99*0.07)</f>
        <v>67.399299999999997</v>
      </c>
      <c r="D4" t="s">
        <v>9</v>
      </c>
    </row>
    <row r="5" spans="1:4" x14ac:dyDescent="0.25">
      <c r="A5" t="s">
        <v>2</v>
      </c>
      <c r="B5">
        <f>10.99+(10.99*0.07)</f>
        <v>11.7593</v>
      </c>
      <c r="D5" t="s">
        <v>11</v>
      </c>
    </row>
    <row r="6" spans="1:4" x14ac:dyDescent="0.25">
      <c r="A6" t="s">
        <v>3</v>
      </c>
      <c r="B6">
        <v>120</v>
      </c>
      <c r="D6" t="s">
        <v>12</v>
      </c>
    </row>
    <row r="7" spans="1:4" x14ac:dyDescent="0.25">
      <c r="A7" t="s">
        <v>4</v>
      </c>
      <c r="B7">
        <f>6.88 + (6.88*0.07)</f>
        <v>7.3616000000000001</v>
      </c>
    </row>
    <row r="8" spans="1:4" x14ac:dyDescent="0.25">
      <c r="A8" t="s">
        <v>5</v>
      </c>
      <c r="B8">
        <v>5</v>
      </c>
      <c r="D8" t="s">
        <v>13</v>
      </c>
    </row>
    <row r="9" spans="1:4" x14ac:dyDescent="0.25">
      <c r="A9" t="s">
        <v>6</v>
      </c>
      <c r="B9">
        <f>18.69 + (18.698*0.07)</f>
        <v>19.998860000000001</v>
      </c>
      <c r="D9" t="s">
        <v>14</v>
      </c>
    </row>
    <row r="10" spans="1:4" x14ac:dyDescent="0.25">
      <c r="A10" t="s">
        <v>15</v>
      </c>
      <c r="B10">
        <f>19.95 + (19.95*0.07)</f>
        <v>21.346499999999999</v>
      </c>
      <c r="D10" t="s">
        <v>14</v>
      </c>
    </row>
    <row r="12" spans="1:4" x14ac:dyDescent="0.25">
      <c r="A12" t="s">
        <v>7</v>
      </c>
      <c r="B12">
        <f>SUM(B3:B10)</f>
        <v>321.76555999999999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</dc:creator>
  <cp:lastModifiedBy>stan</cp:lastModifiedBy>
  <dcterms:created xsi:type="dcterms:W3CDTF">2015-06-05T18:17:20Z</dcterms:created>
  <dcterms:modified xsi:type="dcterms:W3CDTF">2026-03-26T17:52:09Z</dcterms:modified>
</cp:coreProperties>
</file>